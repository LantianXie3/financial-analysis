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ntian\Downloads\"/>
    </mc:Choice>
  </mc:AlternateContent>
  <xr:revisionPtr revIDLastSave="0" documentId="13_ncr:1_{FEFAF567-DF29-41A2-8846-D8383782C827}" xr6:coauthVersionLast="47" xr6:coauthVersionMax="47" xr10:uidLastSave="{00000000-0000-0000-0000-000000000000}"/>
  <bookViews>
    <workbookView xWindow="1170" yWindow="1320" windowWidth="27630" windowHeight="14280" tabRatio="500" xr2:uid="{00000000-000D-0000-FFFF-FFFF00000000}"/>
  </bookViews>
  <sheets>
    <sheet name="Income Statement" sheetId="1" r:id="rId1"/>
    <sheet name="Balance Sheet" sheetId="2" r:id="rId2"/>
    <sheet name="Cash Flow" sheetId="3" r:id="rId3"/>
    <sheet name="Ratios" sheetId="4" r:id="rId4"/>
    <sheet name="Notes" sheetId="5" r:id="rId5"/>
  </sheets>
  <definedNames>
    <definedName name="avg_equity">Ratios!$B$45</definedName>
    <definedName name="avg_total_assets">Ratios!$B$46</definedName>
    <definedName name="avg_total_cap">Ratios!$B$47</definedName>
    <definedName name="currentYear_AR">Ratios!$B$36</definedName>
    <definedName name="currentYear_assets">Ratios!$B$38</definedName>
    <definedName name="currentYear_CA">Ratios!$B$33</definedName>
    <definedName name="currentYear_cash">Ratios!$B$32</definedName>
    <definedName name="currentYear_CL">Ratios!$B$34</definedName>
    <definedName name="currentYear_equity">Ratios!$B$31</definedName>
    <definedName name="currentYear_inv">Ratios!$B$35</definedName>
    <definedName name="currentYear_liab">Ratios!$B$39</definedName>
    <definedName name="currentYear_lt_debt">Ratios!$B$37</definedName>
    <definedName name="currentYear_mkt_sec">Ratios!$B$42</definedName>
    <definedName name="currentYear_nwc">Ratios!$B$40</definedName>
    <definedName name="currentYear_total_cap">Ratios!$B$41</definedName>
    <definedName name="INC_after_tax_op">Ratios!$B$24</definedName>
    <definedName name="INC_daily_sales">Ratios!$B$26</definedName>
    <definedName name="INC_depr">Ratios!$B$27</definedName>
    <definedName name="INC_ebit">Ratios!$B$23</definedName>
    <definedName name="INC_ebitda">Ratios!$B$29</definedName>
    <definedName name="INC_interest">Ratios!$B$28</definedName>
    <definedName name="INC_net">Ratios!$B$22</definedName>
    <definedName name="INC_revenue">Ratios!$B$25</definedName>
    <definedName name="market_cap">Ratios!$B$9</definedName>
    <definedName name="market_share_price">Ratios!$B$7</definedName>
    <definedName name="market_shares_out">Ratios!$B$8</definedName>
    <definedName name="market_wacc">Ratios!$B$10</definedName>
    <definedName name="startYear_assets_total">Ratios!$B$17</definedName>
    <definedName name="startYear_equity">Ratios!$B$14</definedName>
    <definedName name="startYear_inventories">Ratios!$B$15</definedName>
    <definedName name="startYear_lt_debt">Ratios!$B$18</definedName>
    <definedName name="startYear_receivables">Ratios!$B$16</definedName>
    <definedName name="startYear_total_cap">Ratios!$B$19</definedName>
    <definedName name="tax_rate">Ratios!$B$11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01" i="4"/>
  <c r="B70" i="4"/>
  <c r="B71" i="4" s="1"/>
  <c r="B42" i="4"/>
  <c r="B39" i="4"/>
  <c r="B78" i="4" s="1"/>
  <c r="B38" i="4"/>
  <c r="B82" i="4" s="1"/>
  <c r="B37" i="4"/>
  <c r="B41" i="4" s="1"/>
  <c r="B36" i="4"/>
  <c r="B35" i="4"/>
  <c r="B34" i="4"/>
  <c r="B33" i="4"/>
  <c r="B40" i="4" s="1"/>
  <c r="B85" i="4" s="1"/>
  <c r="B32" i="4"/>
  <c r="B88" i="4" s="1"/>
  <c r="B31" i="4"/>
  <c r="B45" i="4" s="1"/>
  <c r="B28" i="4"/>
  <c r="B27" i="4"/>
  <c r="B25" i="4"/>
  <c r="B68" i="4" s="1"/>
  <c r="B19" i="4"/>
  <c r="B47" i="4" s="1"/>
  <c r="B9" i="4"/>
  <c r="B53" i="4" s="1"/>
  <c r="C12" i="1"/>
  <c r="B12" i="1"/>
  <c r="C7" i="1"/>
  <c r="C14" i="1" s="1"/>
  <c r="B7" i="1"/>
  <c r="B14" i="1" s="1"/>
  <c r="C20" i="1" l="1"/>
  <c r="C16" i="1"/>
  <c r="B23" i="4"/>
  <c r="B16" i="1"/>
  <c r="B29" i="4" s="1"/>
  <c r="B80" i="4" s="1"/>
  <c r="B94" i="4"/>
  <c r="B26" i="4"/>
  <c r="B69" i="4" s="1"/>
  <c r="B46" i="4"/>
  <c r="B52" i="4"/>
  <c r="B76" i="4"/>
  <c r="B86" i="4"/>
  <c r="B100" i="4"/>
  <c r="B67" i="4"/>
  <c r="B77" i="4"/>
  <c r="B87" i="4"/>
  <c r="B79" i="4" l="1"/>
  <c r="B73" i="4"/>
  <c r="B22" i="1"/>
  <c r="B22" i="4" s="1"/>
  <c r="B24" i="1"/>
  <c r="B11" i="4" s="1"/>
  <c r="B24" i="4" s="1"/>
  <c r="C22" i="1"/>
  <c r="C24" i="1"/>
  <c r="B54" i="4" l="1"/>
  <c r="B63" i="4"/>
  <c r="B58" i="4"/>
  <c r="B103" i="4"/>
  <c r="B93" i="4"/>
  <c r="B95" i="4" s="1"/>
  <c r="B57" i="4"/>
  <c r="B64" i="4"/>
  <c r="B99" i="4"/>
  <c r="B102" i="4" s="1"/>
  <c r="B96" i="4"/>
  <c r="B72" i="4"/>
  <c r="B62" i="4"/>
  <c r="B81" i="4"/>
  <c r="B59" i="4"/>
</calcChain>
</file>

<file path=xl/sharedStrings.xml><?xml version="1.0" encoding="utf-8"?>
<sst xmlns="http://schemas.openxmlformats.org/spreadsheetml/2006/main" count="286" uniqueCount="265">
  <si>
    <t>Apple Inc. — Consolidated Income Statement</t>
  </si>
  <si>
    <t>($ in millions, except per share)</t>
  </si>
  <si>
    <t>FY2024</t>
  </si>
  <si>
    <t>FY2023</t>
  </si>
  <si>
    <t>Net sales</t>
  </si>
  <si>
    <t>Cost of sales</t>
  </si>
  <si>
    <t>Gross margin</t>
  </si>
  <si>
    <t>Operating expenses:</t>
  </si>
  <si>
    <t xml:space="preserve">  Research and development</t>
  </si>
  <si>
    <t xml:space="preserve">  Selling, general and administrative</t>
  </si>
  <si>
    <t>Total operating expenses</t>
  </si>
  <si>
    <t>Operating income (EBIT)</t>
  </si>
  <si>
    <t>Depreciation and amortization</t>
  </si>
  <si>
    <t>EBITDA</t>
  </si>
  <si>
    <t>Other income/(expense), net</t>
  </si>
  <si>
    <t>Interest expense (estimated)</t>
  </si>
  <si>
    <t>Income before taxes</t>
  </si>
  <si>
    <t>Provision for income taxes</t>
  </si>
  <si>
    <t>Net income</t>
  </si>
  <si>
    <t>Effective tax rate</t>
  </si>
  <si>
    <t>Apple Inc. — Consolidated Balance Sheets</t>
  </si>
  <si>
    <t>($ in millions)</t>
  </si>
  <si>
    <t>Sep 28, 2024</t>
  </si>
  <si>
    <t>Sep 30, 2023</t>
  </si>
  <si>
    <t>Current assets:</t>
  </si>
  <si>
    <t xml:space="preserve">  Cash and cash equivalents</t>
  </si>
  <si>
    <t xml:space="preserve">  Marketable securities</t>
  </si>
  <si>
    <t xml:space="preserve">  Accounts receivable, net</t>
  </si>
  <si>
    <t xml:space="preserve">  Vendor non-trade receivables</t>
  </si>
  <si>
    <t xml:space="preserve">  Inventories</t>
  </si>
  <si>
    <t xml:space="preserve">  Other current assets</t>
  </si>
  <si>
    <t>Total current assets</t>
  </si>
  <si>
    <t>Non-current assets:</t>
  </si>
  <si>
    <t xml:space="preserve">  Property, plant and equipment, net</t>
  </si>
  <si>
    <t xml:space="preserve">  Other non-current assets</t>
  </si>
  <si>
    <t>Total non-current assets</t>
  </si>
  <si>
    <t>Total assets</t>
  </si>
  <si>
    <t>Current liabilities:</t>
  </si>
  <si>
    <t xml:space="preserve">  Accounts payable</t>
  </si>
  <si>
    <t xml:space="preserve">  Other current liabilities</t>
  </si>
  <si>
    <t xml:space="preserve">  Deferred revenue</t>
  </si>
  <si>
    <t xml:space="preserve">  Commercial paper</t>
  </si>
  <si>
    <t xml:space="preserve">  Term debt (current)</t>
  </si>
  <si>
    <t>Total current liabilities</t>
  </si>
  <si>
    <t>Non-current liabilities:</t>
  </si>
  <si>
    <t xml:space="preserve">  Term debt (non-current)</t>
  </si>
  <si>
    <t xml:space="preserve">  Other non-current liabilities</t>
  </si>
  <si>
    <t>Total non-current liabilities</t>
  </si>
  <si>
    <t>Total liabilities</t>
  </si>
  <si>
    <t>Shareholders' equity:</t>
  </si>
  <si>
    <t xml:space="preserve">  Common stock and APIC</t>
  </si>
  <si>
    <t xml:space="preserve">  Accumulated deficit</t>
  </si>
  <si>
    <t xml:space="preserve">  AOCI</t>
  </si>
  <si>
    <t>Total shareholders' equity</t>
  </si>
  <si>
    <t>Total liabilities and equity</t>
  </si>
  <si>
    <t>Apple Inc. — Cash Flow Statement</t>
  </si>
  <si>
    <t>Operating activities:</t>
  </si>
  <si>
    <t xml:space="preserve">  Net income</t>
  </si>
  <si>
    <t xml:space="preserve">  Depreciation and amortization</t>
  </si>
  <si>
    <t xml:space="preserve">  Share-based compensation</t>
  </si>
  <si>
    <t xml:space="preserve">  Other</t>
  </si>
  <si>
    <t xml:space="preserve">  Changes in working capital:</t>
  </si>
  <si>
    <t xml:space="preserve">    Accounts receivable</t>
  </si>
  <si>
    <t xml:space="preserve">    Vendor non-trade receivables</t>
  </si>
  <si>
    <t xml:space="preserve">    Inventories</t>
  </si>
  <si>
    <t xml:space="preserve">    Other assets</t>
  </si>
  <si>
    <t xml:space="preserve">    Accounts payable</t>
  </si>
  <si>
    <t xml:space="preserve">    Other liabilities</t>
  </si>
  <si>
    <t>Cash from operating activities</t>
  </si>
  <si>
    <t>Investing activities:</t>
  </si>
  <si>
    <t xml:space="preserve">  Purchases of marketable securities</t>
  </si>
  <si>
    <t xml:space="preserve">  Maturities of marketable securities</t>
  </si>
  <si>
    <t xml:space="preserve">  Sales of marketable securities</t>
  </si>
  <si>
    <t xml:space="preserve">  Purchases of PP&amp;E</t>
  </si>
  <si>
    <t>Cash from investing activities</t>
  </si>
  <si>
    <t>Financing activities:</t>
  </si>
  <si>
    <t xml:space="preserve">  Taxes - net share settlement</t>
  </si>
  <si>
    <t xml:space="preserve">  Dividends</t>
  </si>
  <si>
    <t xml:space="preserve">  Share repurchases</t>
  </si>
  <si>
    <t xml:space="preserve">  Term debt issuance</t>
  </si>
  <si>
    <t xml:space="preserve">  Term debt repayments</t>
  </si>
  <si>
    <t xml:space="preserve">  Commercial paper, net</t>
  </si>
  <si>
    <t>Cash from financing activities</t>
  </si>
  <si>
    <t>Apple Inc. — Financial Ratio Analysis</t>
  </si>
  <si>
    <t>Current Year: FY2024 (ended Sep 28, 2024)</t>
  </si>
  <si>
    <t>INPUTS</t>
  </si>
  <si>
    <t>Item</t>
  </si>
  <si>
    <t>Value ($M)</t>
  </si>
  <si>
    <t>Named Range</t>
  </si>
  <si>
    <t>— Market / Analyst Inputs —</t>
  </si>
  <si>
    <t>Share price ($)</t>
  </si>
  <si>
    <t>market_share_price</t>
  </si>
  <si>
    <t>Shares outstanding (thousands)</t>
  </si>
  <si>
    <t>market_shares_out</t>
  </si>
  <si>
    <t>Market capitalization</t>
  </si>
  <si>
    <t>market_cap</t>
  </si>
  <si>
    <t>Cost of capital (WACC)</t>
  </si>
  <si>
    <t>market_wacc</t>
  </si>
  <si>
    <t>tax_rate</t>
  </si>
  <si>
    <t>— Start-of-Year (Sep 30, 2023) —</t>
  </si>
  <si>
    <t>Equity (start)</t>
  </si>
  <si>
    <t>startYear_equity</t>
  </si>
  <si>
    <t>Inventories (start)</t>
  </si>
  <si>
    <t>startYear_inventories</t>
  </si>
  <si>
    <t>Accounts receivable (start)</t>
  </si>
  <si>
    <t>startYear_receivables</t>
  </si>
  <si>
    <t>Total assets (start)</t>
  </si>
  <si>
    <t>startYear_assets_total</t>
  </si>
  <si>
    <t>Long-term debt (start)</t>
  </si>
  <si>
    <t>startYear_lt_debt</t>
  </si>
  <si>
    <t>Total capitalization (start)</t>
  </si>
  <si>
    <t>startYear_total_cap</t>
  </si>
  <si>
    <t>— Current-Year (Sep 28, 2024) —</t>
  </si>
  <si>
    <t>INC_net</t>
  </si>
  <si>
    <t>INC_ebit</t>
  </si>
  <si>
    <t>After-tax operating income</t>
  </si>
  <si>
    <t>INC_after_tax_op</t>
  </si>
  <si>
    <t>Revenue</t>
  </si>
  <si>
    <t>INC_revenue</t>
  </si>
  <si>
    <t>Daily sales</t>
  </si>
  <si>
    <t>INC_daily_sales</t>
  </si>
  <si>
    <t>Depreciation &amp; amortization</t>
  </si>
  <si>
    <t>INC_depr</t>
  </si>
  <si>
    <t>Interest expense</t>
  </si>
  <si>
    <t>INC_interest</t>
  </si>
  <si>
    <t>INC_ebitda</t>
  </si>
  <si>
    <t>Book equity (current)</t>
  </si>
  <si>
    <t>currentYear_equity</t>
  </si>
  <si>
    <t>Cash</t>
  </si>
  <si>
    <t>currentYear_cash</t>
  </si>
  <si>
    <t>Current assets</t>
  </si>
  <si>
    <t>currentYear_CA</t>
  </si>
  <si>
    <t>Current liabilities</t>
  </si>
  <si>
    <t>currentYear_CL</t>
  </si>
  <si>
    <t>Inventories (current)</t>
  </si>
  <si>
    <t>currentYear_inv</t>
  </si>
  <si>
    <t>AR (current)</t>
  </si>
  <si>
    <t>currentYear_AR</t>
  </si>
  <si>
    <t>Long-term debt</t>
  </si>
  <si>
    <t>currentYear_lt_debt</t>
  </si>
  <si>
    <t>currentYear_assets</t>
  </si>
  <si>
    <t>currentYear_liab</t>
  </si>
  <si>
    <t>NWC</t>
  </si>
  <si>
    <t>currentYear_nwc</t>
  </si>
  <si>
    <t>Total capitalization</t>
  </si>
  <si>
    <t>currentYear_total_cap</t>
  </si>
  <si>
    <t>Mkt securities (current)</t>
  </si>
  <si>
    <t>currentYear_mkt_sec</t>
  </si>
  <si>
    <t>— Average Items —</t>
  </si>
  <si>
    <t>Average equity</t>
  </si>
  <si>
    <t>avg_equity</t>
  </si>
  <si>
    <t>Average total assets</t>
  </si>
  <si>
    <t>avg_total_assets</t>
  </si>
  <si>
    <t>Average total capitalization</t>
  </si>
  <si>
    <t>avg_total_cap</t>
  </si>
  <si>
    <t>RATIO CALCULATIONS</t>
  </si>
  <si>
    <t>Ratio</t>
  </si>
  <si>
    <t>Value</t>
  </si>
  <si>
    <t>Formula (Named Range Notation)</t>
  </si>
  <si>
    <t>1. PERFORMANCE</t>
  </si>
  <si>
    <t>Market Value Added (MVA)</t>
  </si>
  <si>
    <t>market_cap - currentYear_equity</t>
  </si>
  <si>
    <t>Market-to-Book</t>
  </si>
  <si>
    <t>market_cap / currentYear_equity</t>
  </si>
  <si>
    <t>Economic Value Added (EVA)</t>
  </si>
  <si>
    <t>INC_after_tax_op - WACC * currentYear_assets</t>
  </si>
  <si>
    <t>2. PROFITABILITY (Start-of-Year)</t>
  </si>
  <si>
    <t>ROA (start-of-year)</t>
  </si>
  <si>
    <t>INC_net / startYear_assets_total</t>
  </si>
  <si>
    <t>ROC (start-of-year)</t>
  </si>
  <si>
    <t>INC_after_tax_op / startYear_total_cap</t>
  </si>
  <si>
    <t>ROE (start-of-year)</t>
  </si>
  <si>
    <t>INC_net / startYear_equity</t>
  </si>
  <si>
    <t>2b. PROFITABILITY (Average)</t>
  </si>
  <si>
    <t>ROA (average)</t>
  </si>
  <si>
    <t>INC_net / avg_total_assets</t>
  </si>
  <si>
    <t>ROC (average)</t>
  </si>
  <si>
    <t>INC_after_tax_op / avg_total_cap</t>
  </si>
  <si>
    <t>ROE (average)</t>
  </si>
  <si>
    <t>INC_net / avg_equity</t>
  </si>
  <si>
    <t>3. EFFICIENCY</t>
  </si>
  <si>
    <t>Asset Turnover</t>
  </si>
  <si>
    <t>INC_revenue / startYear_assets_total</t>
  </si>
  <si>
    <t>Receivables Turnover</t>
  </si>
  <si>
    <t>INC_revenue / startYear_receivables</t>
  </si>
  <si>
    <t>Avg Collection Period (days)</t>
  </si>
  <si>
    <t>startYear_receivables / INC_daily_sales</t>
  </si>
  <si>
    <t>Inventory Turnover</t>
  </si>
  <si>
    <t>cost_of_sales / startYear_inventories</t>
  </si>
  <si>
    <t>Days in Inventory</t>
  </si>
  <si>
    <t>365 / inventory_turnover</t>
  </si>
  <si>
    <t>Profit Margin</t>
  </si>
  <si>
    <t>INC_net / INC_revenue</t>
  </si>
  <si>
    <t>Operating Profit Margin</t>
  </si>
  <si>
    <t>INC_ebit / INC_revenue</t>
  </si>
  <si>
    <t>4. LEVERAGE</t>
  </si>
  <si>
    <t>Long-term Debt Ratio</t>
  </si>
  <si>
    <t>LT_debt / (LT_debt + equity)</t>
  </si>
  <si>
    <t>Debt-Equity Ratio</t>
  </si>
  <si>
    <t>LT_debt / equity</t>
  </si>
  <si>
    <t>Total Debt Ratio</t>
  </si>
  <si>
    <t>total_liab / total_assets</t>
  </si>
  <si>
    <t>Times Interest Earned</t>
  </si>
  <si>
    <t>INC_ebit / INC_interest</t>
  </si>
  <si>
    <t>Cash Coverage</t>
  </si>
  <si>
    <t>INC_ebitda / INC_interest</t>
  </si>
  <si>
    <t>Debt Burden</t>
  </si>
  <si>
    <t>INC_net / INC_ebit</t>
  </si>
  <si>
    <t>Leverage Ratio</t>
  </si>
  <si>
    <t>total_assets / equity</t>
  </si>
  <si>
    <t>5. LIQUIDITY</t>
  </si>
  <si>
    <t>NWC-to-Assets</t>
  </si>
  <si>
    <t>currentYear_nwc / currentYear_assets</t>
  </si>
  <si>
    <t>Current Ratio</t>
  </si>
  <si>
    <t>currentYear_CA / currentYear_CL</t>
  </si>
  <si>
    <t>Quick Ratio</t>
  </si>
  <si>
    <t>(CA - inventories) / CL</t>
  </si>
  <si>
    <t>Cash Ratio</t>
  </si>
  <si>
    <t>(cash + mkt_securities) / CL</t>
  </si>
  <si>
    <t>6. DU PONT ANALYSIS</t>
  </si>
  <si>
    <t>ROA Decomposition:</t>
  </si>
  <si>
    <t xml:space="preserve">  Profit Margin</t>
  </si>
  <si>
    <t xml:space="preserve">  x Asset Turnover</t>
  </si>
  <si>
    <t xml:space="preserve">  = Du Pont ROA</t>
  </si>
  <si>
    <t>profit_margin x asset_turnover</t>
  </si>
  <si>
    <t xml:space="preserve">  Check: Direct ROA (start)</t>
  </si>
  <si>
    <t>ROE Decomposition:</t>
  </si>
  <si>
    <t xml:space="preserve">  x Equity Multiplier</t>
  </si>
  <si>
    <t>startYear_assets / startYear_equity</t>
  </si>
  <si>
    <t xml:space="preserve">  = Du Pont ROE</t>
  </si>
  <si>
    <t>margin x turnover x multiplier</t>
  </si>
  <si>
    <t xml:space="preserve">  Check: Direct ROE (start)</t>
  </si>
  <si>
    <t>COLOR LEGEND</t>
  </si>
  <si>
    <t>Yellow background = Editable inputs (hardcoded from 10-K)</t>
  </si>
  <si>
    <t>Blue text = Hardcoded data values</t>
  </si>
  <si>
    <t>Green background = Formula / calculated cells</t>
  </si>
  <si>
    <t>Gray background = Section headers</t>
  </si>
  <si>
    <t>Notes, Assumptions &amp; Data Sources</t>
  </si>
  <si>
    <t>DATA SOURCES</t>
  </si>
  <si>
    <t xml:space="preserve">  All financial data: Apple Inc. Form 10-K, fiscal year ended Sep 28, 2024 (Filed Nov 1, 2024).</t>
  </si>
  <si>
    <t xml:space="preserve">  SEC EDGAR CIK: 0000320193</t>
  </si>
  <si>
    <t xml:space="preserve">  Prior-year comparatives: Sep 30, 2023 balance sheet from same 10-K filing.</t>
  </si>
  <si>
    <t xml:space="preserve">  Share price (~$258.90): approximate close as of April 2026 (Yahoo Finance).</t>
  </si>
  <si>
    <t>KEY ASSUMPTIONS</t>
  </si>
  <si>
    <t xml:space="preserve">  Interest expense ($3,600M FY2024): estimated from note disclosures. Apple's income statement</t>
  </si>
  <si>
    <t xml:space="preserve">  reports 'Other income/(expense), net' as a single line. FY2023 10-K disclosed interest expense</t>
  </si>
  <si>
    <t xml:space="preserve">  of $3,933M. FY2024 estimate reflects lower outstanding term debt balance.</t>
  </si>
  <si>
    <t xml:space="preserve">  WACC (10%): placeholder assumption. A full WACC would incorporate Apple's equity beta,</t>
  </si>
  <si>
    <t xml:space="preserve">  the risk-free rate, equity risk premium, and after-tax cost of debt.</t>
  </si>
  <si>
    <t xml:space="preserve">  Effective tax rate computed from income statement (provision / pre-tax income).</t>
  </si>
  <si>
    <t xml:space="preserve">  FY2024 rate (~24.1%) is elevated due to a one-time charge from the EU State Aid decision.</t>
  </si>
  <si>
    <t xml:space="preserve">  Total capitalization = long-term debt + shareholders' equity.</t>
  </si>
  <si>
    <t xml:space="preserve">  Start-of-year items use Sep 30, 2023 balance sheet (beginning of FY2024).</t>
  </si>
  <si>
    <t>REASONABLENESS CHECKS</t>
  </si>
  <si>
    <t xml:space="preserve">  NWC is negative =&gt; current ratio &lt; 1. Apple's large current liabilities ($176B) exceed</t>
  </si>
  <si>
    <t xml:space="preserve">  current assets ($153B), consistent with the company's asset-light, payables-heavy model.</t>
  </si>
  <si>
    <t xml:space="preserve">  Du Pont ROA (Profit Margin x Asset Turnover) should exactly match directly computed ROA</t>
  </si>
  <si>
    <t xml:space="preserve">  on a start-of-year basis.</t>
  </si>
  <si>
    <t xml:space="preserve">  Du Pont ROE (Margin x Turnover x Multiplier) should approximately match direct ROE</t>
  </si>
  <si>
    <t xml:space="preserve">  ROA (start) vs ROA (average) will differ because the denominators are different.</t>
  </si>
  <si>
    <t>ADJUSTMENTS &amp; LIMITATIONS</t>
  </si>
  <si>
    <t xml:space="preserve">  No operating lease capitalization or goodwill adjustments applied.</t>
  </si>
  <si>
    <t xml:space="preserve">  AR for turnover uses 'Accounts receivable, net' only (excludes vendor non-trade receivables).</t>
  </si>
  <si>
    <t xml:space="preserve">  Shares outstanding: 15,116,786 thousand as of Oct 18, 2024 (per 10-K cover page).</t>
  </si>
  <si>
    <t xml:space="preserve">  Cost of sales used for inventory turnover (from income statement row 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</si>
</sst>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.00"/>
    <numFmt numFmtId="166" formatCode="#,##0.0"/>
    <numFmt numFmtId="167" formatCode="0.0"/>
    <numFmt numFmtId="168" formatCode="0.0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sz val="9"/>
      <color rgb="FF666666"/>
      <name val="Consolas"/>
      <charset val="1"/>
    </font>
    <font>
      <sz val="9"/>
      <color rgb="FF666666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3" fontId="5" fillId="3" borderId="1" xfId="0" applyNumberFormat="1" applyFont="1" applyFill="1" applyBorder="1"/>
    <xf numFmtId="0" fontId="6" fillId="0" borderId="1" xfId="0" applyFont="1" applyBorder="1"/>
    <xf numFmtId="3" fontId="6" fillId="4" borderId="1" xfId="0" applyNumberFormat="1" applyFont="1" applyFill="1" applyBorder="1"/>
    <xf numFmtId="0" fontId="0" fillId="0" borderId="1" xfId="0" applyBorder="1"/>
    <xf numFmtId="164" fontId="6" fillId="4" borderId="1" xfId="0" applyNumberFormat="1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165" fontId="5" fillId="3" borderId="1" xfId="0" applyNumberFormat="1" applyFont="1" applyFill="1" applyBorder="1"/>
    <xf numFmtId="164" fontId="5" fillId="3" borderId="1" xfId="0" applyNumberFormat="1" applyFont="1" applyFill="1" applyBorder="1"/>
    <xf numFmtId="166" fontId="6" fillId="4" borderId="1" xfId="0" applyNumberFormat="1" applyFont="1" applyFill="1" applyBorder="1"/>
    <xf numFmtId="0" fontId="4" fillId="5" borderId="1" xfId="0" applyFont="1" applyFill="1" applyBorder="1"/>
    <xf numFmtId="0" fontId="0" fillId="5" borderId="1" xfId="0" applyFill="1" applyBorder="1"/>
    <xf numFmtId="2" fontId="6" fillId="4" borderId="1" xfId="0" applyNumberFormat="1" applyFont="1" applyFill="1" applyBorder="1"/>
    <xf numFmtId="167" fontId="6" fillId="4" borderId="1" xfId="0" applyNumberFormat="1" applyFont="1" applyFill="1" applyBorder="1"/>
    <xf numFmtId="168" fontId="6" fillId="4" borderId="1" xfId="0" applyNumberFormat="1" applyFont="1" applyFill="1" applyBorder="1"/>
    <xf numFmtId="0" fontId="6" fillId="3" borderId="0" xfId="0" applyFont="1" applyFill="1"/>
    <xf numFmtId="0" fontId="5" fillId="0" borderId="0" xfId="0" applyFont="1"/>
    <xf numFmtId="0" fontId="6" fillId="4" borderId="0" xfId="0" applyFont="1" applyFill="1"/>
    <xf numFmtId="0" fontId="6" fillId="6" borderId="0" xfId="0" applyFont="1" applyFill="1"/>
    <xf numFmtId="0" fontId="6" fillId="0" borderId="0" xfId="0" applyFont="1"/>
    <xf numFmtId="0" fontId="4" fillId="0" borderId="0" xfId="0" applyFont="1"/>
    <xf numFmtId="0" fontId="6" fillId="4" borderId="1" xfId="0" applyNumberFormat="1" applyFont="1" applyFill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C24"/>
  <sheetViews>
    <sheetView tabSelected="1" zoomScaleNormal="100" workbookViewId="0">
      <selection activeCell="B20" sqref="B20"/>
    </sheetView>
  </sheetViews>
  <sheetFormatPr defaultColWidth="8.7109375" defaultRowHeight="15" x14ac:dyDescent="0.25"/>
  <cols>
    <col min="1" max="1" width="45" customWidth="1"/>
    <col min="2" max="3" width="18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/>
      <c r="B4" s="3" t="s">
        <v>2</v>
      </c>
      <c r="C4" s="3" t="s">
        <v>3</v>
      </c>
    </row>
    <row r="5" spans="1:3" x14ac:dyDescent="0.25">
      <c r="A5" s="4" t="s">
        <v>4</v>
      </c>
      <c r="B5" s="5">
        <v>391035</v>
      </c>
      <c r="C5" s="5">
        <v>383285</v>
      </c>
    </row>
    <row r="6" spans="1:3" x14ac:dyDescent="0.25">
      <c r="A6" s="6" t="s">
        <v>5</v>
      </c>
      <c r="B6" s="5">
        <v>210352</v>
      </c>
      <c r="C6" s="5">
        <v>214137</v>
      </c>
    </row>
    <row r="7" spans="1:3" x14ac:dyDescent="0.25">
      <c r="A7" s="4" t="s">
        <v>6</v>
      </c>
      <c r="B7" s="7">
        <f>B5-B6</f>
        <v>180683</v>
      </c>
      <c r="C7" s="7">
        <f>C5-C6</f>
        <v>169148</v>
      </c>
    </row>
    <row r="8" spans="1:3" x14ac:dyDescent="0.25">
      <c r="A8" s="6"/>
      <c r="B8" s="8"/>
      <c r="C8" s="8"/>
    </row>
    <row r="9" spans="1:3" x14ac:dyDescent="0.25">
      <c r="A9" s="4" t="s">
        <v>7</v>
      </c>
      <c r="B9" s="8"/>
      <c r="C9" s="8"/>
    </row>
    <row r="10" spans="1:3" x14ac:dyDescent="0.25">
      <c r="A10" s="6" t="s">
        <v>8</v>
      </c>
      <c r="B10" s="5">
        <v>31370</v>
      </c>
      <c r="C10" s="5">
        <v>29915</v>
      </c>
    </row>
    <row r="11" spans="1:3" x14ac:dyDescent="0.25">
      <c r="A11" s="6" t="s">
        <v>9</v>
      </c>
      <c r="B11" s="5">
        <v>26097</v>
      </c>
      <c r="C11" s="5">
        <v>24932</v>
      </c>
    </row>
    <row r="12" spans="1:3" x14ac:dyDescent="0.25">
      <c r="A12" s="4" t="s">
        <v>10</v>
      </c>
      <c r="B12" s="7">
        <f>B10+B11</f>
        <v>57467</v>
      </c>
      <c r="C12" s="7">
        <f>C10+C11</f>
        <v>54847</v>
      </c>
    </row>
    <row r="13" spans="1:3" x14ac:dyDescent="0.25">
      <c r="A13" s="6"/>
      <c r="B13" s="8"/>
      <c r="C13" s="8"/>
    </row>
    <row r="14" spans="1:3" x14ac:dyDescent="0.25">
      <c r="A14" s="4" t="s">
        <v>11</v>
      </c>
      <c r="B14" s="7">
        <f>B7-B12</f>
        <v>123216</v>
      </c>
      <c r="C14" s="7">
        <f>C7-C12</f>
        <v>114301</v>
      </c>
    </row>
    <row r="15" spans="1:3" x14ac:dyDescent="0.25">
      <c r="A15" s="6" t="s">
        <v>12</v>
      </c>
      <c r="B15" s="5">
        <v>11445</v>
      </c>
      <c r="C15" s="5">
        <v>11519</v>
      </c>
    </row>
    <row r="16" spans="1:3" x14ac:dyDescent="0.25">
      <c r="A16" s="4" t="s">
        <v>13</v>
      </c>
      <c r="B16" s="7">
        <f>B14+B15</f>
        <v>134661</v>
      </c>
      <c r="C16" s="7">
        <f>C14+C15</f>
        <v>125820</v>
      </c>
    </row>
    <row r="17" spans="1:3" x14ac:dyDescent="0.25">
      <c r="A17" s="6"/>
      <c r="B17" s="8"/>
      <c r="C17" s="8"/>
    </row>
    <row r="18" spans="1:3" x14ac:dyDescent="0.25">
      <c r="A18" s="6" t="s">
        <v>14</v>
      </c>
      <c r="B18" s="5">
        <v>269</v>
      </c>
      <c r="C18" s="5">
        <v>-565</v>
      </c>
    </row>
    <row r="19" spans="1:3" x14ac:dyDescent="0.25">
      <c r="A19" s="6" t="s">
        <v>15</v>
      </c>
      <c r="B19" s="5">
        <v>3600</v>
      </c>
      <c r="C19" s="5">
        <v>3933</v>
      </c>
    </row>
    <row r="20" spans="1:3" x14ac:dyDescent="0.25">
      <c r="A20" s="4" t="s">
        <v>16</v>
      </c>
      <c r="B20" s="7">
        <f>B14+B18</f>
        <v>123485</v>
      </c>
      <c r="C20" s="27">
        <f>C14+C18</f>
        <v>113736</v>
      </c>
    </row>
    <row r="21" spans="1:3" x14ac:dyDescent="0.25">
      <c r="A21" s="6" t="s">
        <v>17</v>
      </c>
      <c r="B21" s="5">
        <v>29749</v>
      </c>
      <c r="C21" s="5">
        <v>16741</v>
      </c>
    </row>
    <row r="22" spans="1:3" x14ac:dyDescent="0.25">
      <c r="A22" s="4" t="s">
        <v>18</v>
      </c>
      <c r="B22" s="7">
        <f>B20-B21</f>
        <v>93736</v>
      </c>
      <c r="C22" s="7">
        <f>C20-C21</f>
        <v>96995</v>
      </c>
    </row>
    <row r="23" spans="1:3" x14ac:dyDescent="0.25">
      <c r="A23" s="6"/>
      <c r="B23" s="8"/>
      <c r="C23" s="8"/>
    </row>
    <row r="24" spans="1:3" x14ac:dyDescent="0.25">
      <c r="A24" s="6" t="s">
        <v>19</v>
      </c>
      <c r="B24" s="9">
        <f>B21/B20</f>
        <v>0.24091185164189982</v>
      </c>
      <c r="C24" s="9">
        <f>C21/C20</f>
        <v>0.14719174228036858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C39"/>
  <sheetViews>
    <sheetView zoomScaleNormal="100" workbookViewId="0"/>
  </sheetViews>
  <sheetFormatPr defaultColWidth="8.7109375" defaultRowHeight="15" x14ac:dyDescent="0.25"/>
  <cols>
    <col min="1" max="1" width="45" customWidth="1"/>
    <col min="2" max="3" width="18" customWidth="1"/>
  </cols>
  <sheetData>
    <row r="1" spans="1:3" ht="18" x14ac:dyDescent="0.25">
      <c r="A1" s="1" t="s">
        <v>20</v>
      </c>
    </row>
    <row r="2" spans="1:3" x14ac:dyDescent="0.25">
      <c r="A2" t="s">
        <v>21</v>
      </c>
    </row>
    <row r="3" spans="1:3" x14ac:dyDescent="0.25">
      <c r="A3" s="3"/>
      <c r="B3" s="3" t="s">
        <v>22</v>
      </c>
      <c r="C3" s="3" t="s">
        <v>23</v>
      </c>
    </row>
    <row r="4" spans="1:3" x14ac:dyDescent="0.25">
      <c r="A4" s="4" t="s">
        <v>24</v>
      </c>
      <c r="B4" s="8"/>
      <c r="C4" s="8"/>
    </row>
    <row r="5" spans="1:3" x14ac:dyDescent="0.25">
      <c r="A5" s="6" t="s">
        <v>25</v>
      </c>
      <c r="B5" s="5">
        <v>29943</v>
      </c>
      <c r="C5" s="5">
        <v>29965</v>
      </c>
    </row>
    <row r="6" spans="1:3" x14ac:dyDescent="0.25">
      <c r="A6" s="6" t="s">
        <v>26</v>
      </c>
      <c r="B6" s="5">
        <v>35228</v>
      </c>
      <c r="C6" s="5">
        <v>31590</v>
      </c>
    </row>
    <row r="7" spans="1:3" x14ac:dyDescent="0.25">
      <c r="A7" s="6" t="s">
        <v>27</v>
      </c>
      <c r="B7" s="5">
        <v>33410</v>
      </c>
      <c r="C7" s="5">
        <v>29508</v>
      </c>
    </row>
    <row r="8" spans="1:3" x14ac:dyDescent="0.25">
      <c r="A8" s="6" t="s">
        <v>28</v>
      </c>
      <c r="B8" s="5">
        <v>32833</v>
      </c>
      <c r="C8" s="5">
        <v>31477</v>
      </c>
    </row>
    <row r="9" spans="1:3" x14ac:dyDescent="0.25">
      <c r="A9" s="6" t="s">
        <v>29</v>
      </c>
      <c r="B9" s="5">
        <v>7286</v>
      </c>
      <c r="C9" s="5">
        <v>6331</v>
      </c>
    </row>
    <row r="10" spans="1:3" x14ac:dyDescent="0.25">
      <c r="A10" s="6" t="s">
        <v>30</v>
      </c>
      <c r="B10" s="5">
        <v>14287</v>
      </c>
      <c r="C10" s="5">
        <v>14695</v>
      </c>
    </row>
    <row r="11" spans="1:3" x14ac:dyDescent="0.25">
      <c r="A11" s="4" t="s">
        <v>31</v>
      </c>
      <c r="B11" s="5">
        <v>152987</v>
      </c>
      <c r="C11" s="5">
        <v>143566</v>
      </c>
    </row>
    <row r="12" spans="1:3" x14ac:dyDescent="0.25">
      <c r="A12" s="6"/>
      <c r="B12" s="8"/>
      <c r="C12" s="8"/>
    </row>
    <row r="13" spans="1:3" x14ac:dyDescent="0.25">
      <c r="A13" s="4" t="s">
        <v>32</v>
      </c>
      <c r="B13" s="8"/>
      <c r="C13" s="8"/>
    </row>
    <row r="14" spans="1:3" x14ac:dyDescent="0.25">
      <c r="A14" s="6" t="s">
        <v>26</v>
      </c>
      <c r="B14" s="5">
        <v>91479</v>
      </c>
      <c r="C14" s="5">
        <v>100544</v>
      </c>
    </row>
    <row r="15" spans="1:3" x14ac:dyDescent="0.25">
      <c r="A15" s="6" t="s">
        <v>33</v>
      </c>
      <c r="B15" s="5">
        <v>45680</v>
      </c>
      <c r="C15" s="5">
        <v>43715</v>
      </c>
    </row>
    <row r="16" spans="1:3" x14ac:dyDescent="0.25">
      <c r="A16" s="6" t="s">
        <v>34</v>
      </c>
      <c r="B16" s="5">
        <v>74834</v>
      </c>
      <c r="C16" s="5">
        <v>64758</v>
      </c>
    </row>
    <row r="17" spans="1:3" x14ac:dyDescent="0.25">
      <c r="A17" s="4" t="s">
        <v>35</v>
      </c>
      <c r="B17" s="5">
        <v>211993</v>
      </c>
      <c r="C17" s="5">
        <v>209017</v>
      </c>
    </row>
    <row r="18" spans="1:3" x14ac:dyDescent="0.25">
      <c r="A18" s="4" t="s">
        <v>36</v>
      </c>
      <c r="B18" s="5">
        <v>364980</v>
      </c>
      <c r="C18" s="5">
        <v>352583</v>
      </c>
    </row>
    <row r="19" spans="1:3" x14ac:dyDescent="0.25">
      <c r="A19" s="6"/>
      <c r="B19" s="8"/>
      <c r="C19" s="8"/>
    </row>
    <row r="20" spans="1:3" x14ac:dyDescent="0.25">
      <c r="A20" s="4" t="s">
        <v>37</v>
      </c>
      <c r="B20" s="8"/>
      <c r="C20" s="8"/>
    </row>
    <row r="21" spans="1:3" x14ac:dyDescent="0.25">
      <c r="A21" s="6" t="s">
        <v>38</v>
      </c>
      <c r="B21" s="5">
        <v>68960</v>
      </c>
      <c r="C21" s="5">
        <v>62611</v>
      </c>
    </row>
    <row r="22" spans="1:3" x14ac:dyDescent="0.25">
      <c r="A22" s="6" t="s">
        <v>39</v>
      </c>
      <c r="B22" s="5">
        <v>78304</v>
      </c>
      <c r="C22" s="5">
        <v>58829</v>
      </c>
    </row>
    <row r="23" spans="1:3" x14ac:dyDescent="0.25">
      <c r="A23" s="6" t="s">
        <v>40</v>
      </c>
      <c r="B23" s="5">
        <v>8249</v>
      </c>
      <c r="C23" s="5">
        <v>8061</v>
      </c>
    </row>
    <row r="24" spans="1:3" x14ac:dyDescent="0.25">
      <c r="A24" s="6" t="s">
        <v>41</v>
      </c>
      <c r="B24" s="5">
        <v>9967</v>
      </c>
      <c r="C24" s="5">
        <v>5985</v>
      </c>
    </row>
    <row r="25" spans="1:3" x14ac:dyDescent="0.25">
      <c r="A25" s="6" t="s">
        <v>42</v>
      </c>
      <c r="B25" s="5">
        <v>10912</v>
      </c>
      <c r="C25" s="5">
        <v>9822</v>
      </c>
    </row>
    <row r="26" spans="1:3" x14ac:dyDescent="0.25">
      <c r="A26" s="4" t="s">
        <v>43</v>
      </c>
      <c r="B26" s="5">
        <v>176392</v>
      </c>
      <c r="C26" s="5">
        <v>145308</v>
      </c>
    </row>
    <row r="27" spans="1:3" x14ac:dyDescent="0.25">
      <c r="A27" s="6"/>
      <c r="B27" s="8"/>
      <c r="C27" s="8"/>
    </row>
    <row r="28" spans="1:3" x14ac:dyDescent="0.25">
      <c r="A28" s="4" t="s">
        <v>44</v>
      </c>
      <c r="B28" s="8"/>
      <c r="C28" s="8"/>
    </row>
    <row r="29" spans="1:3" x14ac:dyDescent="0.25">
      <c r="A29" s="6" t="s">
        <v>45</v>
      </c>
      <c r="B29" s="5">
        <v>85750</v>
      </c>
      <c r="C29" s="5">
        <v>95281</v>
      </c>
    </row>
    <row r="30" spans="1:3" x14ac:dyDescent="0.25">
      <c r="A30" s="6" t="s">
        <v>46</v>
      </c>
      <c r="B30" s="5">
        <v>45888</v>
      </c>
      <c r="C30" s="5">
        <v>49848</v>
      </c>
    </row>
    <row r="31" spans="1:3" x14ac:dyDescent="0.25">
      <c r="A31" s="4" t="s">
        <v>47</v>
      </c>
      <c r="B31" s="5">
        <v>131638</v>
      </c>
      <c r="C31" s="5">
        <v>145129</v>
      </c>
    </row>
    <row r="32" spans="1:3" x14ac:dyDescent="0.25">
      <c r="A32" s="4" t="s">
        <v>48</v>
      </c>
      <c r="B32" s="5">
        <v>308030</v>
      </c>
      <c r="C32" s="5">
        <v>290437</v>
      </c>
    </row>
    <row r="33" spans="1:3" x14ac:dyDescent="0.25">
      <c r="A33" s="6"/>
      <c r="B33" s="8"/>
      <c r="C33" s="8"/>
    </row>
    <row r="34" spans="1:3" x14ac:dyDescent="0.25">
      <c r="A34" s="4" t="s">
        <v>49</v>
      </c>
      <c r="B34" s="8"/>
      <c r="C34" s="8"/>
    </row>
    <row r="35" spans="1:3" x14ac:dyDescent="0.25">
      <c r="A35" s="6" t="s">
        <v>50</v>
      </c>
      <c r="B35" s="5">
        <v>83276</v>
      </c>
      <c r="C35" s="5">
        <v>73812</v>
      </c>
    </row>
    <row r="36" spans="1:3" x14ac:dyDescent="0.25">
      <c r="A36" s="6" t="s">
        <v>51</v>
      </c>
      <c r="B36" s="5">
        <v>-19154</v>
      </c>
      <c r="C36" s="5">
        <v>-214</v>
      </c>
    </row>
    <row r="37" spans="1:3" x14ac:dyDescent="0.25">
      <c r="A37" s="6" t="s">
        <v>52</v>
      </c>
      <c r="B37" s="5">
        <v>-7172</v>
      </c>
      <c r="C37" s="5">
        <v>-11452</v>
      </c>
    </row>
    <row r="38" spans="1:3" x14ac:dyDescent="0.25">
      <c r="A38" s="4" t="s">
        <v>53</v>
      </c>
      <c r="B38" s="5">
        <v>56950</v>
      </c>
      <c r="C38" s="5">
        <v>62146</v>
      </c>
    </row>
    <row r="39" spans="1:3" x14ac:dyDescent="0.25">
      <c r="A39" s="4" t="s">
        <v>54</v>
      </c>
      <c r="B39" s="5">
        <v>364980</v>
      </c>
      <c r="C39" s="5">
        <v>352583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C34"/>
  <sheetViews>
    <sheetView zoomScaleNormal="100" workbookViewId="0">
      <selection activeCell="E24" sqref="E24"/>
    </sheetView>
  </sheetViews>
  <sheetFormatPr defaultColWidth="8.7109375" defaultRowHeight="15" x14ac:dyDescent="0.25"/>
  <cols>
    <col min="1" max="1" width="50" customWidth="1"/>
    <col min="2" max="3" width="18" customWidth="1"/>
  </cols>
  <sheetData>
    <row r="1" spans="1:3" ht="18" x14ac:dyDescent="0.25">
      <c r="A1" s="1" t="s">
        <v>55</v>
      </c>
    </row>
    <row r="2" spans="1:3" x14ac:dyDescent="0.25">
      <c r="A2" t="s">
        <v>21</v>
      </c>
    </row>
    <row r="3" spans="1:3" x14ac:dyDescent="0.25">
      <c r="A3" s="3"/>
      <c r="B3" s="3" t="s">
        <v>2</v>
      </c>
      <c r="C3" s="3" t="s">
        <v>3</v>
      </c>
    </row>
    <row r="4" spans="1:3" x14ac:dyDescent="0.25">
      <c r="A4" s="4" t="s">
        <v>56</v>
      </c>
      <c r="B4" s="8"/>
      <c r="C4" s="8"/>
    </row>
    <row r="5" spans="1:3" x14ac:dyDescent="0.25">
      <c r="A5" s="6" t="s">
        <v>57</v>
      </c>
      <c r="B5" s="5">
        <v>93736</v>
      </c>
      <c r="C5" s="5">
        <v>96995</v>
      </c>
    </row>
    <row r="6" spans="1:3" x14ac:dyDescent="0.25">
      <c r="A6" s="6" t="s">
        <v>58</v>
      </c>
      <c r="B6" s="5">
        <v>11445</v>
      </c>
      <c r="C6" s="5">
        <v>11519</v>
      </c>
    </row>
    <row r="7" spans="1:3" x14ac:dyDescent="0.25">
      <c r="A7" s="6" t="s">
        <v>59</v>
      </c>
      <c r="B7" s="5">
        <v>11688</v>
      </c>
      <c r="C7" s="5">
        <v>10833</v>
      </c>
    </row>
    <row r="8" spans="1:3" x14ac:dyDescent="0.25">
      <c r="A8" s="6" t="s">
        <v>60</v>
      </c>
      <c r="B8" s="5">
        <v>-2266</v>
      </c>
      <c r="C8" s="5">
        <v>-2227</v>
      </c>
    </row>
    <row r="9" spans="1:3" x14ac:dyDescent="0.25">
      <c r="A9" s="4" t="s">
        <v>61</v>
      </c>
      <c r="B9" s="8"/>
      <c r="C9" s="8"/>
    </row>
    <row r="10" spans="1:3" x14ac:dyDescent="0.25">
      <c r="A10" s="6" t="s">
        <v>62</v>
      </c>
      <c r="B10" s="5">
        <v>-3788</v>
      </c>
      <c r="C10" s="5">
        <v>-1688</v>
      </c>
    </row>
    <row r="11" spans="1:3" x14ac:dyDescent="0.25">
      <c r="A11" s="6" t="s">
        <v>63</v>
      </c>
      <c r="B11" s="5">
        <v>-1356</v>
      </c>
      <c r="C11" s="5">
        <v>1271</v>
      </c>
    </row>
    <row r="12" spans="1:3" x14ac:dyDescent="0.25">
      <c r="A12" s="6" t="s">
        <v>64</v>
      </c>
      <c r="B12" s="5">
        <v>-1046</v>
      </c>
      <c r="C12" s="5">
        <v>-1618</v>
      </c>
    </row>
    <row r="13" spans="1:3" x14ac:dyDescent="0.25">
      <c r="A13" s="6" t="s">
        <v>65</v>
      </c>
      <c r="B13" s="5">
        <v>-11731</v>
      </c>
      <c r="C13" s="5">
        <v>-5684</v>
      </c>
    </row>
    <row r="14" spans="1:3" x14ac:dyDescent="0.25">
      <c r="A14" s="6" t="s">
        <v>66</v>
      </c>
      <c r="B14" s="5">
        <v>6020</v>
      </c>
      <c r="C14" s="5">
        <v>-1889</v>
      </c>
    </row>
    <row r="15" spans="1:3" x14ac:dyDescent="0.25">
      <c r="A15" s="6" t="s">
        <v>67</v>
      </c>
      <c r="B15" s="5">
        <v>15552</v>
      </c>
      <c r="C15" s="5">
        <v>3031</v>
      </c>
    </row>
    <row r="16" spans="1:3" x14ac:dyDescent="0.25">
      <c r="A16" s="4" t="s">
        <v>68</v>
      </c>
      <c r="B16" s="5">
        <v>118254</v>
      </c>
      <c r="C16" s="5">
        <v>110543</v>
      </c>
    </row>
    <row r="17" spans="1:3" x14ac:dyDescent="0.25">
      <c r="A17" s="6"/>
      <c r="B17" s="8"/>
      <c r="C17" s="8"/>
    </row>
    <row r="18" spans="1:3" x14ac:dyDescent="0.25">
      <c r="A18" s="4" t="s">
        <v>69</v>
      </c>
      <c r="B18" s="8"/>
      <c r="C18" s="8"/>
    </row>
    <row r="19" spans="1:3" x14ac:dyDescent="0.25">
      <c r="A19" s="6" t="s">
        <v>70</v>
      </c>
      <c r="B19" s="5">
        <v>-48656</v>
      </c>
      <c r="C19" s="5">
        <v>-29513</v>
      </c>
    </row>
    <row r="20" spans="1:3" x14ac:dyDescent="0.25">
      <c r="A20" s="6" t="s">
        <v>71</v>
      </c>
      <c r="B20" s="5">
        <v>51211</v>
      </c>
      <c r="C20" s="5">
        <v>39686</v>
      </c>
    </row>
    <row r="21" spans="1:3" x14ac:dyDescent="0.25">
      <c r="A21" s="6" t="s">
        <v>72</v>
      </c>
      <c r="B21" s="5">
        <v>11135</v>
      </c>
      <c r="C21" s="5">
        <v>5828</v>
      </c>
    </row>
    <row r="22" spans="1:3" x14ac:dyDescent="0.25">
      <c r="A22" s="6" t="s">
        <v>73</v>
      </c>
      <c r="B22" s="5">
        <v>-9447</v>
      </c>
      <c r="C22" s="5">
        <v>-10959</v>
      </c>
    </row>
    <row r="23" spans="1:3" x14ac:dyDescent="0.25">
      <c r="A23" s="6" t="s">
        <v>60</v>
      </c>
      <c r="B23" s="5">
        <v>-1308</v>
      </c>
      <c r="C23" s="5">
        <v>-1337</v>
      </c>
    </row>
    <row r="24" spans="1:3" x14ac:dyDescent="0.25">
      <c r="A24" s="4" t="s">
        <v>74</v>
      </c>
      <c r="B24" s="5">
        <v>2935</v>
      </c>
      <c r="C24" s="5">
        <v>3705</v>
      </c>
    </row>
    <row r="25" spans="1:3" x14ac:dyDescent="0.25">
      <c r="A25" s="6"/>
      <c r="B25" s="8"/>
      <c r="C25" s="8"/>
    </row>
    <row r="26" spans="1:3" x14ac:dyDescent="0.25">
      <c r="A26" s="4" t="s">
        <v>75</v>
      </c>
      <c r="B26" s="8"/>
      <c r="C26" s="8"/>
    </row>
    <row r="27" spans="1:3" x14ac:dyDescent="0.25">
      <c r="A27" s="6" t="s">
        <v>76</v>
      </c>
      <c r="B27" s="5">
        <v>-5441</v>
      </c>
      <c r="C27" s="5">
        <v>-5431</v>
      </c>
    </row>
    <row r="28" spans="1:3" x14ac:dyDescent="0.25">
      <c r="A28" s="6" t="s">
        <v>77</v>
      </c>
      <c r="B28" s="5">
        <v>-15234</v>
      </c>
      <c r="C28" s="5">
        <v>-15025</v>
      </c>
    </row>
    <row r="29" spans="1:3" x14ac:dyDescent="0.25">
      <c r="A29" s="6" t="s">
        <v>78</v>
      </c>
      <c r="B29" s="5">
        <v>-94949</v>
      </c>
      <c r="C29" s="5">
        <v>-77550</v>
      </c>
    </row>
    <row r="30" spans="1:3" x14ac:dyDescent="0.25">
      <c r="A30" s="6" t="s">
        <v>79</v>
      </c>
      <c r="B30" s="5">
        <v>0</v>
      </c>
      <c r="C30" s="5">
        <v>5228</v>
      </c>
    </row>
    <row r="31" spans="1:3" x14ac:dyDescent="0.25">
      <c r="A31" s="6" t="s">
        <v>80</v>
      </c>
      <c r="B31" s="5">
        <v>-9958</v>
      </c>
      <c r="C31" s="5">
        <v>-11151</v>
      </c>
    </row>
    <row r="32" spans="1:3" x14ac:dyDescent="0.25">
      <c r="A32" s="6" t="s">
        <v>81</v>
      </c>
      <c r="B32" s="5">
        <v>3960</v>
      </c>
      <c r="C32" s="5">
        <v>-3978</v>
      </c>
    </row>
    <row r="33" spans="1:3" x14ac:dyDescent="0.25">
      <c r="A33" s="6" t="s">
        <v>60</v>
      </c>
      <c r="B33" s="5">
        <v>-361</v>
      </c>
      <c r="C33" s="5">
        <v>-581</v>
      </c>
    </row>
    <row r="34" spans="1:3" x14ac:dyDescent="0.25">
      <c r="A34" s="4" t="s">
        <v>82</v>
      </c>
      <c r="B34" s="5">
        <v>-121983</v>
      </c>
      <c r="C34" s="5">
        <v>-108488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109"/>
  <sheetViews>
    <sheetView zoomScaleNormal="100" workbookViewId="0">
      <selection activeCell="C19" sqref="C19"/>
    </sheetView>
  </sheetViews>
  <sheetFormatPr defaultColWidth="8.7109375" defaultRowHeight="15" x14ac:dyDescent="0.25"/>
  <cols>
    <col min="1" max="1" width="42" customWidth="1"/>
    <col min="2" max="2" width="20" customWidth="1"/>
    <col min="3" max="3" width="48" customWidth="1"/>
  </cols>
  <sheetData>
    <row r="1" spans="1:3" ht="18" x14ac:dyDescent="0.25">
      <c r="A1" s="1" t="s">
        <v>83</v>
      </c>
    </row>
    <row r="2" spans="1:3" x14ac:dyDescent="0.25">
      <c r="A2" s="2" t="s">
        <v>84</v>
      </c>
    </row>
    <row r="4" spans="1:3" ht="15.75" x14ac:dyDescent="0.25">
      <c r="A4" s="10" t="s">
        <v>85</v>
      </c>
      <c r="B4" s="11"/>
      <c r="C4" s="11"/>
    </row>
    <row r="5" spans="1:3" x14ac:dyDescent="0.25">
      <c r="A5" s="3" t="s">
        <v>86</v>
      </c>
      <c r="B5" s="3" t="s">
        <v>87</v>
      </c>
      <c r="C5" s="3" t="s">
        <v>88</v>
      </c>
    </row>
    <row r="6" spans="1:3" x14ac:dyDescent="0.25">
      <c r="A6" s="4" t="s">
        <v>89</v>
      </c>
      <c r="B6" s="8"/>
      <c r="C6" s="12"/>
    </row>
    <row r="7" spans="1:3" x14ac:dyDescent="0.25">
      <c r="A7" s="6" t="s">
        <v>90</v>
      </c>
      <c r="B7" s="13">
        <v>258.89999999999998</v>
      </c>
      <c r="C7" s="12" t="s">
        <v>91</v>
      </c>
    </row>
    <row r="8" spans="1:3" x14ac:dyDescent="0.25">
      <c r="A8" s="6" t="s">
        <v>92</v>
      </c>
      <c r="B8" s="5">
        <v>15116786</v>
      </c>
      <c r="C8" s="12" t="s">
        <v>93</v>
      </c>
    </row>
    <row r="9" spans="1:3" x14ac:dyDescent="0.25">
      <c r="A9" s="6" t="s">
        <v>94</v>
      </c>
      <c r="B9" s="7">
        <f>B7*B8/1000</f>
        <v>3913735.8953999998</v>
      </c>
      <c r="C9" s="12" t="s">
        <v>95</v>
      </c>
    </row>
    <row r="10" spans="1:3" x14ac:dyDescent="0.25">
      <c r="A10" s="6" t="s">
        <v>96</v>
      </c>
      <c r="B10" s="14">
        <v>0.1</v>
      </c>
      <c r="C10" s="12" t="s">
        <v>97</v>
      </c>
    </row>
    <row r="11" spans="1:3" x14ac:dyDescent="0.25">
      <c r="A11" s="6" t="s">
        <v>19</v>
      </c>
      <c r="B11" s="9">
        <f>'Income Statement'!B24</f>
        <v>0.24091185164189982</v>
      </c>
      <c r="C11" s="12" t="s">
        <v>98</v>
      </c>
    </row>
    <row r="12" spans="1:3" x14ac:dyDescent="0.25">
      <c r="A12" s="6"/>
      <c r="B12" s="8"/>
      <c r="C12" s="12"/>
    </row>
    <row r="13" spans="1:3" x14ac:dyDescent="0.25">
      <c r="A13" s="4" t="s">
        <v>99</v>
      </c>
      <c r="B13" s="8"/>
      <c r="C13" s="12"/>
    </row>
    <row r="14" spans="1:3" x14ac:dyDescent="0.25">
      <c r="A14" s="6" t="s">
        <v>100</v>
      </c>
      <c r="B14" s="5">
        <v>62146</v>
      </c>
      <c r="C14" s="12" t="s">
        <v>101</v>
      </c>
    </row>
    <row r="15" spans="1:3" x14ac:dyDescent="0.25">
      <c r="A15" s="6" t="s">
        <v>102</v>
      </c>
      <c r="B15" s="5">
        <v>6331</v>
      </c>
      <c r="C15" s="12" t="s">
        <v>103</v>
      </c>
    </row>
    <row r="16" spans="1:3" x14ac:dyDescent="0.25">
      <c r="A16" s="6" t="s">
        <v>104</v>
      </c>
      <c r="B16" s="5">
        <v>29508</v>
      </c>
      <c r="C16" s="12" t="s">
        <v>105</v>
      </c>
    </row>
    <row r="17" spans="1:3" x14ac:dyDescent="0.25">
      <c r="A17" s="6" t="s">
        <v>106</v>
      </c>
      <c r="B17" s="5">
        <v>352583</v>
      </c>
      <c r="C17" s="12" t="s">
        <v>107</v>
      </c>
    </row>
    <row r="18" spans="1:3" x14ac:dyDescent="0.25">
      <c r="A18" s="6" t="s">
        <v>108</v>
      </c>
      <c r="B18" s="5">
        <v>95281</v>
      </c>
      <c r="C18" s="12" t="s">
        <v>109</v>
      </c>
    </row>
    <row r="19" spans="1:3" x14ac:dyDescent="0.25">
      <c r="A19" s="6" t="s">
        <v>110</v>
      </c>
      <c r="B19" s="7">
        <f>B18+B14</f>
        <v>157427</v>
      </c>
      <c r="C19" s="28" t="s">
        <v>111</v>
      </c>
    </row>
    <row r="20" spans="1:3" x14ac:dyDescent="0.25">
      <c r="A20" s="6"/>
      <c r="B20" s="8"/>
      <c r="C20" s="12"/>
    </row>
    <row r="21" spans="1:3" x14ac:dyDescent="0.25">
      <c r="A21" s="4" t="s">
        <v>112</v>
      </c>
      <c r="B21" s="8"/>
      <c r="C21" s="12"/>
    </row>
    <row r="22" spans="1:3" x14ac:dyDescent="0.25">
      <c r="A22" s="6" t="s">
        <v>18</v>
      </c>
      <c r="B22" s="7">
        <f>'Income Statement'!B22</f>
        <v>93736</v>
      </c>
      <c r="C22" s="12" t="s">
        <v>113</v>
      </c>
    </row>
    <row r="23" spans="1:3" x14ac:dyDescent="0.25">
      <c r="A23" s="6" t="s">
        <v>11</v>
      </c>
      <c r="B23" s="7">
        <f>'Income Statement'!B14</f>
        <v>123216</v>
      </c>
      <c r="C23" s="12" t="s">
        <v>114</v>
      </c>
    </row>
    <row r="24" spans="1:3" x14ac:dyDescent="0.25">
      <c r="A24" s="6" t="s">
        <v>115</v>
      </c>
      <c r="B24" s="7">
        <f>B23*(1-B11)</f>
        <v>93531.80528809168</v>
      </c>
      <c r="C24" s="12" t="s">
        <v>116</v>
      </c>
    </row>
    <row r="25" spans="1:3" x14ac:dyDescent="0.25">
      <c r="A25" s="6" t="s">
        <v>117</v>
      </c>
      <c r="B25" s="7">
        <f>'Income Statement'!B5</f>
        <v>391035</v>
      </c>
      <c r="C25" s="12" t="s">
        <v>118</v>
      </c>
    </row>
    <row r="26" spans="1:3" x14ac:dyDescent="0.25">
      <c r="A26" s="6" t="s">
        <v>119</v>
      </c>
      <c r="B26" s="15">
        <f>B25/365</f>
        <v>1071.3287671232877</v>
      </c>
      <c r="C26" s="12" t="s">
        <v>120</v>
      </c>
    </row>
    <row r="27" spans="1:3" x14ac:dyDescent="0.25">
      <c r="A27" s="6" t="s">
        <v>121</v>
      </c>
      <c r="B27" s="7">
        <f>'Income Statement'!B15</f>
        <v>11445</v>
      </c>
      <c r="C27" s="12" t="s">
        <v>122</v>
      </c>
    </row>
    <row r="28" spans="1:3" x14ac:dyDescent="0.25">
      <c r="A28" s="6" t="s">
        <v>123</v>
      </c>
      <c r="B28" s="7">
        <f>'Income Statement'!B19</f>
        <v>3600</v>
      </c>
      <c r="C28" s="12" t="s">
        <v>124</v>
      </c>
    </row>
    <row r="29" spans="1:3" x14ac:dyDescent="0.25">
      <c r="A29" s="6" t="s">
        <v>13</v>
      </c>
      <c r="B29" s="7">
        <f>'Income Statement'!B16</f>
        <v>134661</v>
      </c>
      <c r="C29" s="12" t="s">
        <v>125</v>
      </c>
    </row>
    <row r="30" spans="1:3" x14ac:dyDescent="0.25">
      <c r="A30" s="6"/>
      <c r="B30" s="8"/>
      <c r="C30" s="12"/>
    </row>
    <row r="31" spans="1:3" x14ac:dyDescent="0.25">
      <c r="A31" s="6" t="s">
        <v>126</v>
      </c>
      <c r="B31" s="7">
        <f>'Balance Sheet'!B38</f>
        <v>56950</v>
      </c>
      <c r="C31" s="12" t="s">
        <v>127</v>
      </c>
    </row>
    <row r="32" spans="1:3" x14ac:dyDescent="0.25">
      <c r="A32" s="6" t="s">
        <v>128</v>
      </c>
      <c r="B32" s="7">
        <f>'Balance Sheet'!B5</f>
        <v>29943</v>
      </c>
      <c r="C32" s="12" t="s">
        <v>129</v>
      </c>
    </row>
    <row r="33" spans="1:3" x14ac:dyDescent="0.25">
      <c r="A33" s="6" t="s">
        <v>130</v>
      </c>
      <c r="B33" s="7">
        <f>'Balance Sheet'!B11</f>
        <v>152987</v>
      </c>
      <c r="C33" s="12" t="s">
        <v>131</v>
      </c>
    </row>
    <row r="34" spans="1:3" x14ac:dyDescent="0.25">
      <c r="A34" s="6" t="s">
        <v>132</v>
      </c>
      <c r="B34" s="7">
        <f>'Balance Sheet'!B26</f>
        <v>176392</v>
      </c>
      <c r="C34" s="12" t="s">
        <v>133</v>
      </c>
    </row>
    <row r="35" spans="1:3" x14ac:dyDescent="0.25">
      <c r="A35" s="6" t="s">
        <v>134</v>
      </c>
      <c r="B35" s="7">
        <f>'Balance Sheet'!B9</f>
        <v>7286</v>
      </c>
      <c r="C35" s="12" t="s">
        <v>135</v>
      </c>
    </row>
    <row r="36" spans="1:3" x14ac:dyDescent="0.25">
      <c r="A36" s="6" t="s">
        <v>136</v>
      </c>
      <c r="B36" s="7">
        <f>'Balance Sheet'!B7</f>
        <v>33410</v>
      </c>
      <c r="C36" s="12" t="s">
        <v>137</v>
      </c>
    </row>
    <row r="37" spans="1:3" x14ac:dyDescent="0.25">
      <c r="A37" s="6" t="s">
        <v>138</v>
      </c>
      <c r="B37" s="7">
        <f>'Balance Sheet'!B29</f>
        <v>85750</v>
      </c>
      <c r="C37" s="12" t="s">
        <v>139</v>
      </c>
    </row>
    <row r="38" spans="1:3" x14ac:dyDescent="0.25">
      <c r="A38" s="6" t="s">
        <v>36</v>
      </c>
      <c r="B38" s="7">
        <f>'Balance Sheet'!B18</f>
        <v>364980</v>
      </c>
      <c r="C38" s="12" t="s">
        <v>140</v>
      </c>
    </row>
    <row r="39" spans="1:3" x14ac:dyDescent="0.25">
      <c r="A39" s="6" t="s">
        <v>48</v>
      </c>
      <c r="B39" s="7">
        <f>'Balance Sheet'!B32</f>
        <v>308030</v>
      </c>
      <c r="C39" s="12" t="s">
        <v>141</v>
      </c>
    </row>
    <row r="40" spans="1:3" x14ac:dyDescent="0.25">
      <c r="A40" s="6" t="s">
        <v>142</v>
      </c>
      <c r="B40" s="7">
        <f>B33-B34</f>
        <v>-23405</v>
      </c>
      <c r="C40" s="12" t="s">
        <v>143</v>
      </c>
    </row>
    <row r="41" spans="1:3" x14ac:dyDescent="0.25">
      <c r="A41" s="6" t="s">
        <v>144</v>
      </c>
      <c r="B41" s="7">
        <f>B37+B31</f>
        <v>142700</v>
      </c>
      <c r="C41" s="12" t="s">
        <v>145</v>
      </c>
    </row>
    <row r="42" spans="1:3" x14ac:dyDescent="0.25">
      <c r="A42" s="6" t="s">
        <v>146</v>
      </c>
      <c r="B42" s="7">
        <f>'Balance Sheet'!B6</f>
        <v>35228</v>
      </c>
      <c r="C42" s="12" t="s">
        <v>147</v>
      </c>
    </row>
    <row r="43" spans="1:3" x14ac:dyDescent="0.25">
      <c r="A43" s="6"/>
      <c r="B43" s="8"/>
      <c r="C43" s="12"/>
    </row>
    <row r="44" spans="1:3" x14ac:dyDescent="0.25">
      <c r="A44" s="4" t="s">
        <v>148</v>
      </c>
      <c r="B44" s="8"/>
      <c r="C44" s="12"/>
    </row>
    <row r="45" spans="1:3" x14ac:dyDescent="0.25">
      <c r="A45" s="6" t="s">
        <v>149</v>
      </c>
      <c r="B45" s="7">
        <f>(B14+B31)/2</f>
        <v>59548</v>
      </c>
      <c r="C45" s="12" t="s">
        <v>150</v>
      </c>
    </row>
    <row r="46" spans="1:3" x14ac:dyDescent="0.25">
      <c r="A46" s="6" t="s">
        <v>151</v>
      </c>
      <c r="B46" s="7">
        <f>(B17+B38)/2</f>
        <v>358781.5</v>
      </c>
      <c r="C46" s="12" t="s">
        <v>152</v>
      </c>
    </row>
    <row r="47" spans="1:3" x14ac:dyDescent="0.25">
      <c r="A47" s="6" t="s">
        <v>153</v>
      </c>
      <c r="B47" s="7">
        <f>(B19+B41)/2</f>
        <v>150063.5</v>
      </c>
      <c r="C47" s="12" t="s">
        <v>154</v>
      </c>
    </row>
    <row r="49" spans="1:3" ht="15.75" x14ac:dyDescent="0.25">
      <c r="A49" s="10" t="s">
        <v>155</v>
      </c>
      <c r="B49" s="11"/>
      <c r="C49" s="11"/>
    </row>
    <row r="50" spans="1:3" x14ac:dyDescent="0.25">
      <c r="A50" s="3" t="s">
        <v>156</v>
      </c>
      <c r="B50" s="3" t="s">
        <v>157</v>
      </c>
      <c r="C50" s="3" t="s">
        <v>158</v>
      </c>
    </row>
    <row r="51" spans="1:3" x14ac:dyDescent="0.25">
      <c r="A51" s="16" t="s">
        <v>159</v>
      </c>
      <c r="B51" s="17"/>
      <c r="C51" s="17"/>
    </row>
    <row r="52" spans="1:3" x14ac:dyDescent="0.25">
      <c r="A52" s="6" t="s">
        <v>160</v>
      </c>
      <c r="B52" s="7">
        <f>B9-B31</f>
        <v>3856785.8953999998</v>
      </c>
      <c r="C52" s="12" t="s">
        <v>161</v>
      </c>
    </row>
    <row r="53" spans="1:3" x14ac:dyDescent="0.25">
      <c r="A53" s="6" t="s">
        <v>162</v>
      </c>
      <c r="B53" s="18">
        <f>B9/B31</f>
        <v>68.722315985952591</v>
      </c>
      <c r="C53" s="12" t="s">
        <v>163</v>
      </c>
    </row>
    <row r="54" spans="1:3" x14ac:dyDescent="0.25">
      <c r="A54" s="6" t="s">
        <v>164</v>
      </c>
      <c r="B54" s="7">
        <f>B24-B10*B38</f>
        <v>57033.80528809168</v>
      </c>
      <c r="C54" s="12" t="s">
        <v>165</v>
      </c>
    </row>
    <row r="55" spans="1:3" x14ac:dyDescent="0.25">
      <c r="A55" s="6"/>
      <c r="B55" s="8"/>
      <c r="C55" s="8"/>
    </row>
    <row r="56" spans="1:3" x14ac:dyDescent="0.25">
      <c r="A56" s="16" t="s">
        <v>166</v>
      </c>
      <c r="B56" s="17"/>
      <c r="C56" s="17"/>
    </row>
    <row r="57" spans="1:3" x14ac:dyDescent="0.25">
      <c r="A57" s="6" t="s">
        <v>167</v>
      </c>
      <c r="B57" s="9">
        <f>B22/B17</f>
        <v>0.26585513198310751</v>
      </c>
      <c r="C57" s="12" t="s">
        <v>168</v>
      </c>
    </row>
    <row r="58" spans="1:3" x14ac:dyDescent="0.25">
      <c r="A58" s="6" t="s">
        <v>169</v>
      </c>
      <c r="B58" s="9">
        <f>B24/B19</f>
        <v>0.59412810564954988</v>
      </c>
      <c r="C58" s="12" t="s">
        <v>170</v>
      </c>
    </row>
    <row r="59" spans="1:3" x14ac:dyDescent="0.25">
      <c r="A59" s="6" t="s">
        <v>171</v>
      </c>
      <c r="B59" s="9">
        <f>B22/B14</f>
        <v>1.5083191194928072</v>
      </c>
      <c r="C59" s="12" t="s">
        <v>172</v>
      </c>
    </row>
    <row r="60" spans="1:3" x14ac:dyDescent="0.25">
      <c r="A60" s="6"/>
      <c r="B60" s="8"/>
      <c r="C60" s="8"/>
    </row>
    <row r="61" spans="1:3" x14ac:dyDescent="0.25">
      <c r="A61" s="16" t="s">
        <v>173</v>
      </c>
      <c r="B61" s="17"/>
      <c r="C61" s="17"/>
    </row>
    <row r="62" spans="1:3" x14ac:dyDescent="0.25">
      <c r="A62" s="6" t="s">
        <v>174</v>
      </c>
      <c r="B62" s="9">
        <f>B22/B46</f>
        <v>0.26126207733676349</v>
      </c>
      <c r="C62" s="12" t="s">
        <v>175</v>
      </c>
    </row>
    <row r="63" spans="1:3" x14ac:dyDescent="0.25">
      <c r="A63" s="6" t="s">
        <v>176</v>
      </c>
      <c r="B63" s="9">
        <f>B24/B47</f>
        <v>0.62328151274688171</v>
      </c>
      <c r="C63" s="12" t="s">
        <v>177</v>
      </c>
    </row>
    <row r="64" spans="1:3" x14ac:dyDescent="0.25">
      <c r="A64" s="6" t="s">
        <v>178</v>
      </c>
      <c r="B64" s="9">
        <f>B22/B45</f>
        <v>1.5741250755692886</v>
      </c>
      <c r="C64" s="12" t="s">
        <v>179</v>
      </c>
    </row>
    <row r="65" spans="1:3" x14ac:dyDescent="0.25">
      <c r="A65" s="6"/>
      <c r="B65" s="8"/>
      <c r="C65" s="8"/>
    </row>
    <row r="66" spans="1:3" x14ac:dyDescent="0.25">
      <c r="A66" s="16" t="s">
        <v>180</v>
      </c>
      <c r="B66" s="17"/>
      <c r="C66" s="17"/>
    </row>
    <row r="67" spans="1:3" x14ac:dyDescent="0.25">
      <c r="A67" s="6" t="s">
        <v>181</v>
      </c>
      <c r="B67" s="18">
        <f>B25/B17</f>
        <v>1.1090580090361701</v>
      </c>
      <c r="C67" s="12" t="s">
        <v>182</v>
      </c>
    </row>
    <row r="68" spans="1:3" x14ac:dyDescent="0.25">
      <c r="A68" s="6" t="s">
        <v>183</v>
      </c>
      <c r="B68" s="18">
        <f>B25/B16</f>
        <v>13.251830012200081</v>
      </c>
      <c r="C68" s="12" t="s">
        <v>184</v>
      </c>
    </row>
    <row r="69" spans="1:3" x14ac:dyDescent="0.25">
      <c r="A69" s="6" t="s">
        <v>185</v>
      </c>
      <c r="B69" s="19">
        <f>B16/B26</f>
        <v>27.543365683378727</v>
      </c>
      <c r="C69" s="12" t="s">
        <v>186</v>
      </c>
    </row>
    <row r="70" spans="1:3" x14ac:dyDescent="0.25">
      <c r="A70" s="6" t="s">
        <v>187</v>
      </c>
      <c r="B70" s="18">
        <f>'Income Statement'!B6/B15</f>
        <v>33.225714737008374</v>
      </c>
      <c r="C70" s="12" t="s">
        <v>188</v>
      </c>
    </row>
    <row r="71" spans="1:3" x14ac:dyDescent="0.25">
      <c r="A71" s="6" t="s">
        <v>189</v>
      </c>
      <c r="B71" s="19">
        <f>365/B70</f>
        <v>10.985467216855556</v>
      </c>
      <c r="C71" s="12" t="s">
        <v>190</v>
      </c>
    </row>
    <row r="72" spans="1:3" x14ac:dyDescent="0.25">
      <c r="A72" s="6" t="s">
        <v>191</v>
      </c>
      <c r="B72" s="9">
        <f>B22/B25</f>
        <v>0.23971255769943867</v>
      </c>
      <c r="C72" s="12" t="s">
        <v>192</v>
      </c>
    </row>
    <row r="73" spans="1:3" x14ac:dyDescent="0.25">
      <c r="A73" s="6" t="s">
        <v>193</v>
      </c>
      <c r="B73" s="9">
        <f>B23/B25</f>
        <v>0.31510222870075566</v>
      </c>
      <c r="C73" s="12" t="s">
        <v>194</v>
      </c>
    </row>
    <row r="74" spans="1:3" x14ac:dyDescent="0.25">
      <c r="A74" s="6"/>
      <c r="B74" s="8"/>
      <c r="C74" s="8"/>
    </row>
    <row r="75" spans="1:3" x14ac:dyDescent="0.25">
      <c r="A75" s="16" t="s">
        <v>195</v>
      </c>
      <c r="B75" s="17"/>
      <c r="C75" s="17"/>
    </row>
    <row r="76" spans="1:3" x14ac:dyDescent="0.25">
      <c r="A76" s="6" t="s">
        <v>196</v>
      </c>
      <c r="B76" s="9">
        <f>B37/(B37+B31)</f>
        <v>0.60091100210231252</v>
      </c>
      <c r="C76" s="12" t="s">
        <v>197</v>
      </c>
    </row>
    <row r="77" spans="1:3" x14ac:dyDescent="0.25">
      <c r="A77" s="6" t="s">
        <v>198</v>
      </c>
      <c r="B77" s="18">
        <f>B37/B31</f>
        <v>1.5057067603160668</v>
      </c>
      <c r="C77" s="12" t="s">
        <v>199</v>
      </c>
    </row>
    <row r="78" spans="1:3" x14ac:dyDescent="0.25">
      <c r="A78" s="6" t="s">
        <v>200</v>
      </c>
      <c r="B78" s="9">
        <f>B39/B38</f>
        <v>0.84396405282481235</v>
      </c>
      <c r="C78" s="12" t="s">
        <v>201</v>
      </c>
    </row>
    <row r="79" spans="1:3" x14ac:dyDescent="0.25">
      <c r="A79" s="6" t="s">
        <v>202</v>
      </c>
      <c r="B79" s="19">
        <f>B23/B28</f>
        <v>34.226666666666667</v>
      </c>
      <c r="C79" s="12" t="s">
        <v>203</v>
      </c>
    </row>
    <row r="80" spans="1:3" x14ac:dyDescent="0.25">
      <c r="A80" s="6" t="s">
        <v>204</v>
      </c>
      <c r="B80" s="19">
        <f>B29/B28</f>
        <v>37.405833333333334</v>
      </c>
      <c r="C80" s="12" t="s">
        <v>205</v>
      </c>
    </row>
    <row r="81" spans="1:3" x14ac:dyDescent="0.25">
      <c r="A81" s="6" t="s">
        <v>206</v>
      </c>
      <c r="B81" s="18">
        <f>B22/B23</f>
        <v>0.76074535774574725</v>
      </c>
      <c r="C81" s="12" t="s">
        <v>207</v>
      </c>
    </row>
    <row r="82" spans="1:3" x14ac:dyDescent="0.25">
      <c r="A82" s="6" t="s">
        <v>208</v>
      </c>
      <c r="B82" s="18">
        <f>B38/B31</f>
        <v>6.408779631255487</v>
      </c>
      <c r="C82" s="12" t="s">
        <v>209</v>
      </c>
    </row>
    <row r="83" spans="1:3" x14ac:dyDescent="0.25">
      <c r="A83" s="6"/>
      <c r="B83" s="8"/>
      <c r="C83" s="8"/>
    </row>
    <row r="84" spans="1:3" x14ac:dyDescent="0.25">
      <c r="A84" s="16" t="s">
        <v>210</v>
      </c>
      <c r="B84" s="17"/>
      <c r="C84" s="17"/>
    </row>
    <row r="85" spans="1:3" x14ac:dyDescent="0.25">
      <c r="A85" s="6" t="s">
        <v>211</v>
      </c>
      <c r="B85" s="9">
        <f>B40/B38</f>
        <v>-6.4126801468573622E-2</v>
      </c>
      <c r="C85" s="12" t="s">
        <v>212</v>
      </c>
    </row>
    <row r="86" spans="1:3" x14ac:dyDescent="0.25">
      <c r="A86" s="6" t="s">
        <v>213</v>
      </c>
      <c r="B86" s="18">
        <f>B33/B34</f>
        <v>0.86731257653408322</v>
      </c>
      <c r="C86" s="12" t="s">
        <v>214</v>
      </c>
    </row>
    <row r="87" spans="1:3" x14ac:dyDescent="0.25">
      <c r="A87" s="6" t="s">
        <v>215</v>
      </c>
      <c r="B87" s="18">
        <f>(B33-B35)/B34</f>
        <v>0.82600684838314664</v>
      </c>
      <c r="C87" s="12" t="s">
        <v>216</v>
      </c>
    </row>
    <row r="88" spans="1:3" x14ac:dyDescent="0.25">
      <c r="A88" s="6" t="s">
        <v>217</v>
      </c>
      <c r="B88" s="18">
        <f>(B32+B42)/B34</f>
        <v>0.36946686924577077</v>
      </c>
      <c r="C88" s="12" t="s">
        <v>218</v>
      </c>
    </row>
    <row r="89" spans="1:3" x14ac:dyDescent="0.25">
      <c r="A89" s="6"/>
      <c r="B89" s="8"/>
      <c r="C89" s="8"/>
    </row>
    <row r="90" spans="1:3" x14ac:dyDescent="0.25">
      <c r="A90" s="16" t="s">
        <v>219</v>
      </c>
      <c r="B90" s="17"/>
      <c r="C90" s="17"/>
    </row>
    <row r="91" spans="1:3" x14ac:dyDescent="0.25">
      <c r="A91" s="6"/>
      <c r="B91" s="8"/>
      <c r="C91" s="8"/>
    </row>
    <row r="92" spans="1:3" x14ac:dyDescent="0.25">
      <c r="A92" s="16" t="s">
        <v>220</v>
      </c>
      <c r="B92" s="17"/>
      <c r="C92" s="17"/>
    </row>
    <row r="93" spans="1:3" x14ac:dyDescent="0.25">
      <c r="A93" s="6" t="s">
        <v>221</v>
      </c>
      <c r="B93" s="9">
        <f>B22/B25</f>
        <v>0.23971255769943867</v>
      </c>
      <c r="C93" s="12" t="s">
        <v>192</v>
      </c>
    </row>
    <row r="94" spans="1:3" x14ac:dyDescent="0.25">
      <c r="A94" s="6" t="s">
        <v>222</v>
      </c>
      <c r="B94" s="20">
        <f>B25/B17</f>
        <v>1.1090580090361701</v>
      </c>
      <c r="C94" s="12" t="s">
        <v>182</v>
      </c>
    </row>
    <row r="95" spans="1:3" x14ac:dyDescent="0.25">
      <c r="A95" s="6" t="s">
        <v>223</v>
      </c>
      <c r="B95" s="9">
        <f>B93*B94</f>
        <v>0.26585513198310751</v>
      </c>
      <c r="C95" s="12" t="s">
        <v>224</v>
      </c>
    </row>
    <row r="96" spans="1:3" x14ac:dyDescent="0.25">
      <c r="A96" s="6" t="s">
        <v>225</v>
      </c>
      <c r="B96" s="9">
        <f>B22/B17</f>
        <v>0.26585513198310751</v>
      </c>
      <c r="C96" s="12" t="s">
        <v>168</v>
      </c>
    </row>
    <row r="97" spans="1:3" x14ac:dyDescent="0.25">
      <c r="A97" s="6"/>
      <c r="B97" s="8"/>
      <c r="C97" s="8"/>
    </row>
    <row r="98" spans="1:3" x14ac:dyDescent="0.25">
      <c r="A98" s="16" t="s">
        <v>226</v>
      </c>
      <c r="B98" s="17"/>
      <c r="C98" s="17"/>
    </row>
    <row r="99" spans="1:3" x14ac:dyDescent="0.25">
      <c r="A99" s="6" t="s">
        <v>221</v>
      </c>
      <c r="B99" s="9">
        <f>B22/B25</f>
        <v>0.23971255769943867</v>
      </c>
      <c r="C99" s="12" t="s">
        <v>192</v>
      </c>
    </row>
    <row r="100" spans="1:3" x14ac:dyDescent="0.25">
      <c r="A100" s="6" t="s">
        <v>222</v>
      </c>
      <c r="B100" s="20">
        <f>B25/B17</f>
        <v>1.1090580090361701</v>
      </c>
      <c r="C100" s="12" t="s">
        <v>182</v>
      </c>
    </row>
    <row r="101" spans="1:3" x14ac:dyDescent="0.25">
      <c r="A101" s="6" t="s">
        <v>227</v>
      </c>
      <c r="B101" s="18">
        <f>B17/B14</f>
        <v>5.6734624915521517</v>
      </c>
      <c r="C101" s="12" t="s">
        <v>228</v>
      </c>
    </row>
    <row r="102" spans="1:3" x14ac:dyDescent="0.25">
      <c r="A102" s="6" t="s">
        <v>229</v>
      </c>
      <c r="B102" s="9">
        <f>B99*B100*B101</f>
        <v>1.5083191194928072</v>
      </c>
      <c r="C102" s="12" t="s">
        <v>230</v>
      </c>
    </row>
    <row r="103" spans="1:3" x14ac:dyDescent="0.25">
      <c r="A103" s="6" t="s">
        <v>231</v>
      </c>
      <c r="B103" s="9">
        <f>B22/B14</f>
        <v>1.5083191194928072</v>
      </c>
      <c r="C103" s="12" t="s">
        <v>172</v>
      </c>
    </row>
    <row r="105" spans="1:3" ht="15.75" x14ac:dyDescent="0.25">
      <c r="A105" s="10" t="s">
        <v>232</v>
      </c>
      <c r="B105" s="11"/>
      <c r="C105" s="11"/>
    </row>
    <row r="106" spans="1:3" x14ac:dyDescent="0.25">
      <c r="A106" s="21" t="s">
        <v>233</v>
      </c>
    </row>
    <row r="107" spans="1:3" x14ac:dyDescent="0.25">
      <c r="A107" s="22" t="s">
        <v>234</v>
      </c>
    </row>
    <row r="108" spans="1:3" x14ac:dyDescent="0.25">
      <c r="A108" s="23" t="s">
        <v>235</v>
      </c>
    </row>
    <row r="109" spans="1:3" x14ac:dyDescent="0.25">
      <c r="A109" s="24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33"/>
  <sheetViews>
    <sheetView zoomScaleNormal="100" workbookViewId="0"/>
  </sheetViews>
  <sheetFormatPr defaultColWidth="8.7109375" defaultRowHeight="15" x14ac:dyDescent="0.25"/>
  <cols>
    <col min="1" max="1" width="95" customWidth="1"/>
  </cols>
  <sheetData>
    <row r="1" spans="1:1" ht="18" x14ac:dyDescent="0.25">
      <c r="A1" s="1" t="s">
        <v>237</v>
      </c>
    </row>
    <row r="2" spans="1:1" x14ac:dyDescent="0.25">
      <c r="A2" s="25"/>
    </row>
    <row r="3" spans="1:1" x14ac:dyDescent="0.25">
      <c r="A3" s="26" t="s">
        <v>238</v>
      </c>
    </row>
    <row r="4" spans="1:1" x14ac:dyDescent="0.25">
      <c r="A4" s="25" t="s">
        <v>239</v>
      </c>
    </row>
    <row r="5" spans="1:1" x14ac:dyDescent="0.25">
      <c r="A5" s="25" t="s">
        <v>240</v>
      </c>
    </row>
    <row r="6" spans="1:1" x14ac:dyDescent="0.25">
      <c r="A6" s="25" t="s">
        <v>241</v>
      </c>
    </row>
    <row r="7" spans="1:1" x14ac:dyDescent="0.25">
      <c r="A7" s="25" t="s">
        <v>242</v>
      </c>
    </row>
    <row r="8" spans="1:1" x14ac:dyDescent="0.25">
      <c r="A8" s="25"/>
    </row>
    <row r="9" spans="1:1" x14ac:dyDescent="0.25">
      <c r="A9" s="26" t="s">
        <v>243</v>
      </c>
    </row>
    <row r="10" spans="1:1" x14ac:dyDescent="0.25">
      <c r="A10" s="25" t="s">
        <v>244</v>
      </c>
    </row>
    <row r="11" spans="1:1" x14ac:dyDescent="0.25">
      <c r="A11" s="25" t="s">
        <v>245</v>
      </c>
    </row>
    <row r="12" spans="1:1" x14ac:dyDescent="0.25">
      <c r="A12" s="25" t="s">
        <v>246</v>
      </c>
    </row>
    <row r="13" spans="1:1" x14ac:dyDescent="0.25">
      <c r="A13" s="25" t="s">
        <v>247</v>
      </c>
    </row>
    <row r="14" spans="1:1" x14ac:dyDescent="0.25">
      <c r="A14" s="25" t="s">
        <v>248</v>
      </c>
    </row>
    <row r="15" spans="1:1" x14ac:dyDescent="0.25">
      <c r="A15" s="25" t="s">
        <v>249</v>
      </c>
    </row>
    <row r="16" spans="1:1" x14ac:dyDescent="0.25">
      <c r="A16" s="25" t="s">
        <v>250</v>
      </c>
    </row>
    <row r="17" spans="1:1" x14ac:dyDescent="0.25">
      <c r="A17" s="25" t="s">
        <v>251</v>
      </c>
    </row>
    <row r="18" spans="1:1" x14ac:dyDescent="0.25">
      <c r="A18" s="25" t="s">
        <v>252</v>
      </c>
    </row>
    <row r="19" spans="1:1" x14ac:dyDescent="0.25">
      <c r="A19" s="25"/>
    </row>
    <row r="20" spans="1:1" x14ac:dyDescent="0.25">
      <c r="A20" s="26" t="s">
        <v>253</v>
      </c>
    </row>
    <row r="21" spans="1:1" x14ac:dyDescent="0.25">
      <c r="A21" s="25" t="s">
        <v>254</v>
      </c>
    </row>
    <row r="22" spans="1:1" x14ac:dyDescent="0.25">
      <c r="A22" s="25" t="s">
        <v>255</v>
      </c>
    </row>
    <row r="23" spans="1:1" x14ac:dyDescent="0.25">
      <c r="A23" s="25" t="s">
        <v>256</v>
      </c>
    </row>
    <row r="24" spans="1:1" x14ac:dyDescent="0.25">
      <c r="A24" s="25" t="s">
        <v>257</v>
      </c>
    </row>
    <row r="25" spans="1:1" x14ac:dyDescent="0.25">
      <c r="A25" s="25" t="s">
        <v>258</v>
      </c>
    </row>
    <row r="26" spans="1:1" x14ac:dyDescent="0.25">
      <c r="A26" s="25" t="s">
        <v>257</v>
      </c>
    </row>
    <row r="27" spans="1:1" x14ac:dyDescent="0.25">
      <c r="A27" s="25" t="s">
        <v>259</v>
      </c>
    </row>
    <row r="28" spans="1:1" x14ac:dyDescent="0.25">
      <c r="A28" s="25"/>
    </row>
    <row r="29" spans="1:1" x14ac:dyDescent="0.25">
      <c r="A29" s="26" t="s">
        <v>260</v>
      </c>
    </row>
    <row r="30" spans="1:1" x14ac:dyDescent="0.25">
      <c r="A30" s="25" t="s">
        <v>261</v>
      </c>
    </row>
    <row r="31" spans="1:1" x14ac:dyDescent="0.25">
      <c r="A31" s="25" t="s">
        <v>262</v>
      </c>
    </row>
    <row r="32" spans="1:1" x14ac:dyDescent="0.25">
      <c r="A32" s="25" t="s">
        <v>263</v>
      </c>
    </row>
    <row r="33" spans="1:1" x14ac:dyDescent="0.25">
      <c r="A33" s="25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34</vt:i4>
      </vt:variant>
    </vt:vector>
  </HeadingPairs>
  <TitlesOfParts>
    <vt:vector size="39" baseType="lpstr">
      <vt:lpstr>Income Statement</vt:lpstr>
      <vt:lpstr>Balance Sheet</vt:lpstr>
      <vt:lpstr>Cash Flow</vt:lpstr>
      <vt:lpstr>Ratios</vt:lpstr>
      <vt:lpstr>Notes</vt:lpstr>
      <vt:lpstr>avg_equity</vt:lpstr>
      <vt:lpstr>avg_total_assets</vt:lpstr>
      <vt:lpstr>avg_total_cap</vt:lpstr>
      <vt:lpstr>currentYear_AR</vt:lpstr>
      <vt:lpstr>currentYear_assets</vt:lpstr>
      <vt:lpstr>currentYear_CA</vt:lpstr>
      <vt:lpstr>currentYear_cash</vt:lpstr>
      <vt:lpstr>currentYear_CL</vt:lpstr>
      <vt:lpstr>currentYear_equity</vt:lpstr>
      <vt:lpstr>currentYear_inv</vt:lpstr>
      <vt:lpstr>currentYear_liab</vt:lpstr>
      <vt:lpstr>currentYear_lt_debt</vt:lpstr>
      <vt:lpstr>currentYear_mkt_sec</vt:lpstr>
      <vt:lpstr>currentYear_nwc</vt:lpstr>
      <vt:lpstr>currentYear_total_cap</vt:lpstr>
      <vt:lpstr>INC_after_tax_op</vt:lpstr>
      <vt:lpstr>INC_daily_sales</vt:lpstr>
      <vt:lpstr>INC_depr</vt:lpstr>
      <vt:lpstr>INC_ebit</vt:lpstr>
      <vt:lpstr>INC_ebitda</vt:lpstr>
      <vt:lpstr>INC_interest</vt:lpstr>
      <vt:lpstr>INC_net</vt:lpstr>
      <vt:lpstr>INC_revenue</vt:lpstr>
      <vt:lpstr>market_cap</vt:lpstr>
      <vt:lpstr>market_share_price</vt:lpstr>
      <vt:lpstr>market_shares_out</vt:lpstr>
      <vt:lpstr>market_wacc</vt:lpstr>
      <vt:lpstr>startYear_assets_total</vt:lpstr>
      <vt:lpstr>startYear_equity</vt:lpstr>
      <vt:lpstr>startYear_inventories</vt:lpstr>
      <vt:lpstr>startYear_lt_debt</vt:lpstr>
      <vt:lpstr>startYear_receivables</vt:lpstr>
      <vt:lpstr>startYear_total_cap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Lantian</cp:lastModifiedBy>
  <cp:revision>0</cp:revision>
  <dcterms:created xsi:type="dcterms:W3CDTF">2026-04-18T06:56:00Z</dcterms:created>
  <dcterms:modified xsi:type="dcterms:W3CDTF">2026-04-18T07:23:21Z</dcterms:modified>
  <dc:language>en-US</dc:language>
</cp:coreProperties>
</file>